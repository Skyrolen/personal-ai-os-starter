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README" sheetId="1" state="visible" r:id="rId1"/>
    <sheet name="Items" sheetId="2" state="visible" r:id="rId2"/>
    <sheet name="Locations" sheetId="3" state="visible" r:id="rId3"/>
    <sheet name="Inventory" sheetId="4" state="visible" r:id="rId4"/>
    <sheet name="Recipes" sheetId="5" state="visible" r:id="rId5"/>
    <sheet name="Requisition" sheetId="6" state="visible" r:id="rId6"/>
    <sheet name="Pull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Items" displayName="tbl_Items" ref="A1:I11" headerRowCount="1">
  <autoFilter ref="A1:I11"/>
  <tableColumns count="9">
    <tableColumn id="1" name="ItemCode"/>
    <tableColumn id="2" name="ItemName"/>
    <tableColumn id="3" name="Category"/>
    <tableColumn id="4" name="VendorUOM"/>
    <tableColumn id="5" name="PackSize"/>
    <tableColumn id="6" name="PortionUOM"/>
    <tableColumn id="7" name="PortionsPerVendorUnit"/>
    <tableColumn id="8" name="VendorPrice"/>
    <tableColumn id="9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Locations" displayName="tbl_Locations" ref="A1:C6" headerRowCount="1">
  <autoFilter ref="A1:C6"/>
  <tableColumns count="3">
    <tableColumn id="1" name="LocationCode"/>
    <tableColumn id="2" name="LocationName"/>
    <tableColumn id="3" name="Zon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Inventory" displayName="tbl_Inventory" ref="A1:G17" headerRowCount="1">
  <autoFilter ref="A1:G17"/>
  <tableColumns count="7">
    <tableColumn id="1" name="ItemCode"/>
    <tableColumn id="2" name="LocationCode"/>
    <tableColumn id="3" name="ParLevel"/>
    <tableColumn id="4" name="OnHandPortions"/>
    <tableColumn id="5" name="ItemName"/>
    <tableColumn id="6" name="PortionUOM"/>
    <tableColumn id="7" name="OnHandVendorUnit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Recipes" displayName="tbl_Recipes" ref="A1:F12" headerRowCount="1">
  <autoFilter ref="A1:F12"/>
  <tableColumns count="6">
    <tableColumn id="1" name="RecipeCode"/>
    <tableColumn id="2" name="RecipeName"/>
    <tableColumn id="3" name="YieldServings"/>
    <tableColumn id="4" name="ItemCode"/>
    <tableColumn id="5" name="QtyPerBatch"/>
    <tableColumn id="6" name="QtyUOM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Requisition" displayName="tbl_Requisition" ref="A4:J14" headerRowCount="1">
  <autoFilter ref="A4:J14"/>
  <tableColumns count="10">
    <tableColumn id="1" name="ItemCode"/>
    <tableColumn id="2" name="ItemName"/>
    <tableColumn id="3" name="TotalPortionsNeeded"/>
    <tableColumn id="4" name="PortionUOM"/>
    <tableColumn id="5" name="VendorUOM"/>
    <tableColumn id="6" name="VendorUnitsNeeded"/>
    <tableColumn id="7" name="VendorUnitsToOrder"/>
    <tableColumn id="8" name="TotalOnHandPortions"/>
    <tableColumn id="9" name="ShortfallPortions"/>
    <tableColumn id="10" name="EstCos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PullList" displayName="tbl_PullList" ref="A1:G17" headerRowCount="1">
  <autoFilter ref="A1:G17"/>
  <tableColumns count="7">
    <tableColumn id="1" name="LocationCode"/>
    <tableColumn id="2" name="LocationName"/>
    <tableColumn id="3" name="ItemCode"/>
    <tableColumn id="4" name="ItemName"/>
    <tableColumn id="5" name="PortionsAvailable"/>
    <tableColumn id="6" name="PortionUOM"/>
    <tableColumn id="7" name="PortionsNeededForRequisi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Restaurant BOH Inventory Template</t>
        </is>
      </c>
    </row>
    <row r="2">
      <c r="A2" t="inlineStr"/>
    </row>
    <row r="3">
      <c r="A3" s="1" t="inlineStr">
        <is>
          <t>Sheets:</t>
        </is>
      </c>
    </row>
    <row r="4">
      <c r="A4" t="inlineStr">
        <is>
          <t xml:space="preserve">  Items        - master catalog. One row per SKU. Edit PortionsPerVendorUnit to fix unit math.</t>
        </is>
      </c>
    </row>
    <row r="5">
      <c r="A5" t="inlineStr">
        <is>
          <t xml:space="preserve">  Locations    - storage locations (Walk-in, Freezer, etc.).</t>
        </is>
      </c>
    </row>
    <row r="6">
      <c r="A6" t="inlineStr">
        <is>
          <t xml:space="preserve">  Inventory    - on-hand by item AND location. One item can have many rows here.</t>
        </is>
      </c>
    </row>
    <row r="7">
      <c r="A7" t="inlineStr">
        <is>
          <t xml:space="preserve">  Recipes      - long-format: one row per ingredient per recipe. Paste new rows to add a recipe.</t>
        </is>
      </c>
    </row>
    <row r="8">
      <c r="A8" t="inlineStr">
        <is>
          <t xml:space="preserve">  Requisition  - pick a RecipeCode in B1, ServingsNeeded in B2 - totals + vendor units appear below.</t>
        </is>
      </c>
    </row>
    <row r="9">
      <c r="A9" t="inlineStr">
        <is>
          <t xml:space="preserve">  PullList     - which locations have stock for the items you need.</t>
        </is>
      </c>
    </row>
    <row r="10">
      <c r="A10" t="inlineStr"/>
    </row>
    <row r="11">
      <c r="A11" s="1" t="inlineStr">
        <is>
          <t>Quick test:</t>
        </is>
      </c>
    </row>
    <row r="12">
      <c r="A12" t="inlineStr">
        <is>
          <t xml:space="preserve">  1. Open the Requisition sheet.</t>
        </is>
      </c>
    </row>
    <row r="13">
      <c r="A13" t="inlineStr">
        <is>
          <t xml:space="preserve">  2. Set B1 = PORK01, B2 = 20.</t>
        </is>
      </c>
    </row>
    <row r="14">
      <c r="A14" t="inlineStr">
        <is>
          <t xml:space="preserve">  3. Pork chop row should show TotalPortionsNeeded = 20, VendorUnitsToOrder = 8.</t>
        </is>
      </c>
    </row>
    <row r="15">
      <c r="A15" t="inlineStr"/>
    </row>
    <row r="16">
      <c r="A16" s="1" t="inlineStr">
        <is>
          <t>Adding a recipe:</t>
        </is>
      </c>
    </row>
    <row r="17">
      <c r="A17" t="inlineStr">
        <is>
          <t xml:space="preserve">  Paste new rows at the bottom of the Recipes table - one row per ingredient.</t>
        </is>
      </c>
    </row>
    <row r="18">
      <c r="A18" t="inlineStr">
        <is>
          <t xml:space="preserve">  Use ItemCodes that already exist in Items (or add them first).</t>
        </is>
      </c>
    </row>
    <row r="19">
      <c r="A19" t="inlineStr"/>
    </row>
    <row r="20">
      <c r="A20" s="1" t="inlineStr">
        <is>
          <t>Vendor unit conversion:</t>
        </is>
      </c>
    </row>
    <row r="21">
      <c r="A21" t="inlineStr">
        <is>
          <t xml:space="preserve">  Vendors sell pork chops by the pound. The kitchen thinks in each (6oz portions).</t>
        </is>
      </c>
    </row>
    <row r="22">
      <c r="A22" t="inlineStr">
        <is>
          <t xml:space="preserve">  PortionsPerVendorUnit on Items is the conversion: 1 lb -&gt; 2.67 chops.</t>
        </is>
      </c>
    </row>
    <row r="23">
      <c r="A23" t="inlineStr">
        <is>
          <t xml:space="preserve">  Requisition reports both PortionsNeeded (kitchen) and VendorUnitsToOrder (rounded up to a whole lb/case).</t>
        </is>
      </c>
    </row>
    <row r="24">
      <c r="A24" t="inlineStr"/>
    </row>
    <row r="25">
      <c r="A25" t="inlineStr">
        <is>
          <t>Regenerate this file: python3 scripts/build_boh_template.py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  <col width="23" customWidth="1" min="7" max="7"/>
    <col width="14" customWidth="1" min="8" max="8"/>
    <col width="40" customWidth="1" min="9" max="9"/>
  </cols>
  <sheetData>
    <row r="1">
      <c r="A1" s="2" t="inlineStr">
        <is>
          <t>ItemCode</t>
        </is>
      </c>
      <c r="B1" s="2" t="inlineStr">
        <is>
          <t>ItemName</t>
        </is>
      </c>
      <c r="C1" s="2" t="inlineStr">
        <is>
          <t>Category</t>
        </is>
      </c>
      <c r="D1" s="2" t="inlineStr">
        <is>
          <t>VendorUOM</t>
        </is>
      </c>
      <c r="E1" s="2" t="inlineStr">
        <is>
          <t>PackSize</t>
        </is>
      </c>
      <c r="F1" s="2" t="inlineStr">
        <is>
          <t>PortionUOM</t>
        </is>
      </c>
      <c r="G1" s="2" t="inlineStr">
        <is>
          <t>PortionsPerVendorUnit</t>
        </is>
      </c>
      <c r="H1" s="2" t="inlineStr">
        <is>
          <t>VendorPrice</t>
        </is>
      </c>
      <c r="I1" s="2" t="inlineStr">
        <is>
          <t>Notes</t>
        </is>
      </c>
    </row>
    <row r="2">
      <c r="A2" t="inlineStr">
        <is>
          <t>PORK-CHOP-6OZ</t>
        </is>
      </c>
      <c r="B2" t="inlineStr">
        <is>
          <t>Pork Chop 6oz</t>
        </is>
      </c>
      <c r="C2" t="inlineStr">
        <is>
          <t>Protein</t>
        </is>
      </c>
      <c r="D2" t="inlineStr">
        <is>
          <t>lb</t>
        </is>
      </c>
      <c r="E2" t="inlineStr">
        <is>
          <t>40 lb case</t>
        </is>
      </c>
      <c r="F2" t="inlineStr">
        <is>
          <t>each</t>
        </is>
      </c>
      <c r="G2" t="n">
        <v>2.67</v>
      </c>
      <c r="H2" t="n">
        <v>4.5</v>
      </c>
      <c r="I2" t="inlineStr">
        <is>
          <t>Bone-in. Vendor sells by the pound.</t>
        </is>
      </c>
    </row>
    <row r="3">
      <c r="A3" t="inlineStr">
        <is>
          <t>CHIX-BRST-8OZ</t>
        </is>
      </c>
      <c r="B3" t="inlineStr">
        <is>
          <t>Chicken Breast 8oz</t>
        </is>
      </c>
      <c r="C3" t="inlineStr">
        <is>
          <t>Protein</t>
        </is>
      </c>
      <c r="D3" t="inlineStr">
        <is>
          <t>case</t>
        </is>
      </c>
      <c r="E3" t="inlineStr">
        <is>
          <t>40 ct case</t>
        </is>
      </c>
      <c r="F3" t="inlineStr">
        <is>
          <t>each</t>
        </is>
      </c>
      <c r="G3" t="n">
        <v>40</v>
      </c>
      <c r="H3" t="n">
        <v>95</v>
      </c>
      <c r="I3" t="inlineStr">
        <is>
          <t>Boneless skinless.</t>
        </is>
      </c>
    </row>
    <row r="4">
      <c r="A4" t="inlineStr">
        <is>
          <t>ONION-YEL</t>
        </is>
      </c>
      <c r="B4" t="inlineStr">
        <is>
          <t>Yellow Onion</t>
        </is>
      </c>
      <c r="C4" t="inlineStr">
        <is>
          <t>Produce</t>
        </is>
      </c>
      <c r="D4" t="inlineStr">
        <is>
          <t>lb</t>
        </is>
      </c>
      <c r="E4" t="inlineStr">
        <is>
          <t>50 lb sack</t>
        </is>
      </c>
      <c r="F4" t="inlineStr">
        <is>
          <t>cup</t>
        </is>
      </c>
      <c r="G4" t="n">
        <v>3</v>
      </c>
      <c r="H4" t="n">
        <v>0.95</v>
      </c>
      <c r="I4" t="inlineStr">
        <is>
          <t>Approx 3 cups diced per lb.</t>
        </is>
      </c>
    </row>
    <row r="5">
      <c r="A5" t="inlineStr">
        <is>
          <t>CREAM-HVY</t>
        </is>
      </c>
      <c r="B5" t="inlineStr">
        <is>
          <t>Heavy Cream</t>
        </is>
      </c>
      <c r="C5" t="inlineStr">
        <is>
          <t>Dairy</t>
        </is>
      </c>
      <c r="D5" t="inlineStr">
        <is>
          <t>qt</t>
        </is>
      </c>
      <c r="E5" t="inlineStr">
        <is>
          <t>1 qt</t>
        </is>
      </c>
      <c r="F5" t="inlineStr">
        <is>
          <t>cup</t>
        </is>
      </c>
      <c r="G5" t="n">
        <v>4</v>
      </c>
      <c r="H5" t="n">
        <v>7.25</v>
      </c>
      <c r="I5" t="inlineStr"/>
    </row>
    <row r="6">
      <c r="A6" t="inlineStr">
        <is>
          <t>SALT-KOSHER</t>
        </is>
      </c>
      <c r="B6" t="inlineStr">
        <is>
          <t>Kosher Salt</t>
        </is>
      </c>
      <c r="C6" t="inlineStr">
        <is>
          <t>Dry</t>
        </is>
      </c>
      <c r="D6" t="inlineStr">
        <is>
          <t>box</t>
        </is>
      </c>
      <c r="E6" t="inlineStr">
        <is>
          <t>3 lb box</t>
        </is>
      </c>
      <c r="F6" t="inlineStr">
        <is>
          <t>tsp</t>
        </is>
      </c>
      <c r="G6" t="n">
        <v>864</v>
      </c>
      <c r="H6" t="n">
        <v>4.1</v>
      </c>
      <c r="I6" t="inlineStr">
        <is>
          <t>Approx 288 tsp per lb.</t>
        </is>
      </c>
    </row>
    <row r="7">
      <c r="A7" t="inlineStr">
        <is>
          <t>OIL-OLIVE</t>
        </is>
      </c>
      <c r="B7" t="inlineStr">
        <is>
          <t>Olive Oil</t>
        </is>
      </c>
      <c r="C7" t="inlineStr">
        <is>
          <t>Dry</t>
        </is>
      </c>
      <c r="D7" t="inlineStr">
        <is>
          <t>gal</t>
        </is>
      </c>
      <c r="E7" t="inlineStr">
        <is>
          <t>1 gal</t>
        </is>
      </c>
      <c r="F7" t="inlineStr">
        <is>
          <t>tbsp</t>
        </is>
      </c>
      <c r="G7" t="n">
        <v>256</v>
      </c>
      <c r="H7" t="n">
        <v>32</v>
      </c>
      <c r="I7" t="inlineStr"/>
    </row>
    <row r="8">
      <c r="A8" t="inlineStr">
        <is>
          <t>POT-RUSSET</t>
        </is>
      </c>
      <c r="B8" t="inlineStr">
        <is>
          <t>Russet Potato</t>
        </is>
      </c>
      <c r="C8" t="inlineStr">
        <is>
          <t>Produce</t>
        </is>
      </c>
      <c r="D8" t="inlineStr">
        <is>
          <t>case</t>
        </is>
      </c>
      <c r="E8" t="inlineStr">
        <is>
          <t>50 lb case</t>
        </is>
      </c>
      <c r="F8" t="inlineStr">
        <is>
          <t>each</t>
        </is>
      </c>
      <c r="G8" t="n">
        <v>100</v>
      </c>
      <c r="H8" t="n">
        <v>22</v>
      </c>
      <c r="I8" t="inlineStr">
        <is>
          <t>~2 potatoes per lb.</t>
        </is>
      </c>
    </row>
    <row r="9">
      <c r="A9" t="inlineStr">
        <is>
          <t>BUTTER</t>
        </is>
      </c>
      <c r="B9" t="inlineStr">
        <is>
          <t>Butter Unsalted</t>
        </is>
      </c>
      <c r="C9" t="inlineStr">
        <is>
          <t>Dairy</t>
        </is>
      </c>
      <c r="D9" t="inlineStr">
        <is>
          <t>lb</t>
        </is>
      </c>
      <c r="E9" t="inlineStr">
        <is>
          <t>1 lb block</t>
        </is>
      </c>
      <c r="F9" t="inlineStr">
        <is>
          <t>tbsp</t>
        </is>
      </c>
      <c r="G9" t="n">
        <v>32</v>
      </c>
      <c r="H9" t="n">
        <v>5.5</v>
      </c>
      <c r="I9" t="inlineStr"/>
    </row>
    <row r="10">
      <c r="A10" t="inlineStr">
        <is>
          <t>GARLIC</t>
        </is>
      </c>
      <c r="B10" t="inlineStr">
        <is>
          <t>Garlic Fresh</t>
        </is>
      </c>
      <c r="C10" t="inlineStr">
        <is>
          <t>Produce</t>
        </is>
      </c>
      <c r="D10" t="inlineStr">
        <is>
          <t>lb</t>
        </is>
      </c>
      <c r="E10" t="inlineStr">
        <is>
          <t>5 lb bag</t>
        </is>
      </c>
      <c r="F10" t="inlineStr">
        <is>
          <t>clove</t>
        </is>
      </c>
      <c r="G10" t="n">
        <v>50</v>
      </c>
      <c r="H10" t="n">
        <v>6</v>
      </c>
      <c r="I10" t="inlineStr"/>
    </row>
    <row r="11">
      <c r="A11" t="inlineStr">
        <is>
          <t>PARSLEY</t>
        </is>
      </c>
      <c r="B11" t="inlineStr">
        <is>
          <t>Parsley Flat-Leaf</t>
        </is>
      </c>
      <c r="C11" t="inlineStr">
        <is>
          <t>Produce</t>
        </is>
      </c>
      <c r="D11" t="inlineStr">
        <is>
          <t>bunch</t>
        </is>
      </c>
      <c r="E11" t="inlineStr">
        <is>
          <t>1 bunch</t>
        </is>
      </c>
      <c r="F11" t="inlineStr">
        <is>
          <t>tbsp</t>
        </is>
      </c>
      <c r="G11" t="n">
        <v>24</v>
      </c>
      <c r="H11" t="n">
        <v>1.75</v>
      </c>
      <c r="I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2" t="inlineStr">
        <is>
          <t>LocationCode</t>
        </is>
      </c>
      <c r="B1" s="2" t="inlineStr">
        <is>
          <t>LocationName</t>
        </is>
      </c>
      <c r="C1" s="2" t="inlineStr">
        <is>
          <t>Zone</t>
        </is>
      </c>
    </row>
    <row r="2">
      <c r="A2" t="inlineStr">
        <is>
          <t>WALKIN</t>
        </is>
      </c>
      <c r="B2" t="inlineStr">
        <is>
          <t>Walk-in Cooler</t>
        </is>
      </c>
      <c r="C2" t="inlineStr">
        <is>
          <t>Cold</t>
        </is>
      </c>
    </row>
    <row r="3">
      <c r="A3" t="inlineStr">
        <is>
          <t>FRZ</t>
        </is>
      </c>
      <c r="B3" t="inlineStr">
        <is>
          <t>Freezer</t>
        </is>
      </c>
      <c r="C3" t="inlineStr">
        <is>
          <t>Cold</t>
        </is>
      </c>
    </row>
    <row r="4">
      <c r="A4" t="inlineStr">
        <is>
          <t>DRY</t>
        </is>
      </c>
      <c r="B4" t="inlineStr">
        <is>
          <t>Dry Storage</t>
        </is>
      </c>
      <c r="C4" t="inlineStr">
        <is>
          <t>Ambient</t>
        </is>
      </c>
    </row>
    <row r="5">
      <c r="A5" t="inlineStr">
        <is>
          <t>SAUTE</t>
        </is>
      </c>
      <c r="B5" t="inlineStr">
        <is>
          <t>Sauté Line</t>
        </is>
      </c>
      <c r="C5" t="inlineStr">
        <is>
          <t>Hot Line</t>
        </is>
      </c>
    </row>
    <row r="6">
      <c r="A6" t="inlineStr">
        <is>
          <t>PREP</t>
        </is>
      </c>
      <c r="B6" t="inlineStr">
        <is>
          <t>Prep Station</t>
        </is>
      </c>
      <c r="C6" t="inlineStr">
        <is>
          <t>Prep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2" customWidth="1" min="5" max="5"/>
    <col width="14" customWidth="1" min="6" max="6"/>
    <col width="20" customWidth="1" min="7" max="7"/>
  </cols>
  <sheetData>
    <row r="1">
      <c r="A1" s="2" t="inlineStr">
        <is>
          <t>ItemCode</t>
        </is>
      </c>
      <c r="B1" s="2" t="inlineStr">
        <is>
          <t>LocationCode</t>
        </is>
      </c>
      <c r="C1" s="2" t="inlineStr">
        <is>
          <t>ParLevel</t>
        </is>
      </c>
      <c r="D1" s="2" t="inlineStr">
        <is>
          <t>OnHandPortions</t>
        </is>
      </c>
      <c r="E1" s="2" t="inlineStr">
        <is>
          <t>ItemName</t>
        </is>
      </c>
      <c r="F1" s="2" t="inlineStr">
        <is>
          <t>PortionUOM</t>
        </is>
      </c>
      <c r="G1" s="2" t="inlineStr">
        <is>
          <t>OnHandVendorUnits</t>
        </is>
      </c>
    </row>
    <row r="2">
      <c r="A2" t="inlineStr">
        <is>
          <t>PORK-CHOP-6OZ</t>
        </is>
      </c>
      <c r="B2" t="inlineStr">
        <is>
          <t>WALKIN</t>
        </is>
      </c>
      <c r="C2" t="n">
        <v>60</v>
      </c>
      <c r="D2" t="n">
        <v>40</v>
      </c>
      <c r="E2">
        <f>XLOOKUP([@ItemCode], tbl_Items[ItemCode], tbl_Items[ItemName], "MISSING")</f>
        <v/>
      </c>
      <c r="F2">
        <f>XLOOKUP([@ItemCode], tbl_Items[ItemCode], tbl_Items[PortionUOM], "")</f>
        <v/>
      </c>
      <c r="G2">
        <f>IFERROR([@OnHandPortions]/XLOOKUP([@ItemCode], tbl_Items[ItemCode], tbl_Items[PortionsPerVendorUnit]), 0)</f>
        <v/>
      </c>
    </row>
    <row r="3">
      <c r="A3" t="inlineStr">
        <is>
          <t>PORK-CHOP-6OZ</t>
        </is>
      </c>
      <c r="B3" t="inlineStr">
        <is>
          <t>FRZ</t>
        </is>
      </c>
      <c r="C3" t="n">
        <v>120</v>
      </c>
      <c r="D3" t="n">
        <v>120</v>
      </c>
      <c r="E3">
        <f>XLOOKUP([@ItemCode], tbl_Items[ItemCode], tbl_Items[ItemName], "MISSING")</f>
        <v/>
      </c>
      <c r="F3">
        <f>XLOOKUP([@ItemCode], tbl_Items[ItemCode], tbl_Items[PortionUOM], "")</f>
        <v/>
      </c>
      <c r="G3">
        <f>IFERROR([@OnHandPortions]/XLOOKUP([@ItemCode], tbl_Items[ItemCode], tbl_Items[PortionsPerVendorUnit]), 0)</f>
        <v/>
      </c>
    </row>
    <row r="4">
      <c r="A4" t="inlineStr">
        <is>
          <t>PORK-CHOP-6OZ</t>
        </is>
      </c>
      <c r="B4" t="inlineStr">
        <is>
          <t>PREP</t>
        </is>
      </c>
      <c r="C4" t="n">
        <v>12</v>
      </c>
      <c r="D4" t="n">
        <v>8</v>
      </c>
      <c r="E4">
        <f>XLOOKUP([@ItemCode], tbl_Items[ItemCode], tbl_Items[ItemName], "MISSING")</f>
        <v/>
      </c>
      <c r="F4">
        <f>XLOOKUP([@ItemCode], tbl_Items[ItemCode], tbl_Items[PortionUOM], "")</f>
        <v/>
      </c>
      <c r="G4">
        <f>IFERROR([@OnHandPortions]/XLOOKUP([@ItemCode], tbl_Items[ItemCode], tbl_Items[PortionsPerVendorUnit]), 0)</f>
        <v/>
      </c>
    </row>
    <row r="5">
      <c r="A5" t="inlineStr">
        <is>
          <t>CHIX-BRST-8OZ</t>
        </is>
      </c>
      <c r="B5" t="inlineStr">
        <is>
          <t>WALKIN</t>
        </is>
      </c>
      <c r="C5" t="n">
        <v>40</v>
      </c>
      <c r="D5" t="n">
        <v>32</v>
      </c>
      <c r="E5">
        <f>XLOOKUP([@ItemCode], tbl_Items[ItemCode], tbl_Items[ItemName], "MISSING")</f>
        <v/>
      </c>
      <c r="F5">
        <f>XLOOKUP([@ItemCode], tbl_Items[ItemCode], tbl_Items[PortionUOM], "")</f>
        <v/>
      </c>
      <c r="G5">
        <f>IFERROR([@OnHandPortions]/XLOOKUP([@ItemCode], tbl_Items[ItemCode], tbl_Items[PortionsPerVendorUnit]), 0)</f>
        <v/>
      </c>
    </row>
    <row r="6">
      <c r="A6" t="inlineStr">
        <is>
          <t>CHIX-BRST-8OZ</t>
        </is>
      </c>
      <c r="B6" t="inlineStr">
        <is>
          <t>FRZ</t>
        </is>
      </c>
      <c r="C6" t="n">
        <v>80</v>
      </c>
      <c r="D6" t="n">
        <v>80</v>
      </c>
      <c r="E6">
        <f>XLOOKUP([@ItemCode], tbl_Items[ItemCode], tbl_Items[ItemName], "MISSING")</f>
        <v/>
      </c>
      <c r="F6">
        <f>XLOOKUP([@ItemCode], tbl_Items[ItemCode], tbl_Items[PortionUOM], "")</f>
        <v/>
      </c>
      <c r="G6">
        <f>IFERROR([@OnHandPortions]/XLOOKUP([@ItemCode], tbl_Items[ItemCode], tbl_Items[PortionsPerVendorUnit]), 0)</f>
        <v/>
      </c>
    </row>
    <row r="7">
      <c r="A7" t="inlineStr">
        <is>
          <t>ONION-YEL</t>
        </is>
      </c>
      <c r="B7" t="inlineStr">
        <is>
          <t>WALKIN</t>
        </is>
      </c>
      <c r="C7" t="n">
        <v>30</v>
      </c>
      <c r="D7" t="n">
        <v>18</v>
      </c>
      <c r="E7">
        <f>XLOOKUP([@ItemCode], tbl_Items[ItemCode], tbl_Items[ItemName], "MISSING")</f>
        <v/>
      </c>
      <c r="F7">
        <f>XLOOKUP([@ItemCode], tbl_Items[ItemCode], tbl_Items[PortionUOM], "")</f>
        <v/>
      </c>
      <c r="G7">
        <f>IFERROR([@OnHandPortions]/XLOOKUP([@ItemCode], tbl_Items[ItemCode], tbl_Items[PortionsPerVendorUnit]), 0)</f>
        <v/>
      </c>
    </row>
    <row r="8">
      <c r="A8" t="inlineStr">
        <is>
          <t>ONION-YEL</t>
        </is>
      </c>
      <c r="B8" t="inlineStr">
        <is>
          <t>PREP</t>
        </is>
      </c>
      <c r="C8" t="n">
        <v>6</v>
      </c>
      <c r="D8" t="n">
        <v>4</v>
      </c>
      <c r="E8">
        <f>XLOOKUP([@ItemCode], tbl_Items[ItemCode], tbl_Items[ItemName], "MISSING")</f>
        <v/>
      </c>
      <c r="F8">
        <f>XLOOKUP([@ItemCode], tbl_Items[ItemCode], tbl_Items[PortionUOM], "")</f>
        <v/>
      </c>
      <c r="G8">
        <f>IFERROR([@OnHandPortions]/XLOOKUP([@ItemCode], tbl_Items[ItemCode], tbl_Items[PortionsPerVendorUnit]), 0)</f>
        <v/>
      </c>
    </row>
    <row r="9">
      <c r="A9" t="inlineStr">
        <is>
          <t>CREAM-HVY</t>
        </is>
      </c>
      <c r="B9" t="inlineStr">
        <is>
          <t>WALKIN</t>
        </is>
      </c>
      <c r="C9" t="n">
        <v>12</v>
      </c>
      <c r="D9" t="n">
        <v>6</v>
      </c>
      <c r="E9">
        <f>XLOOKUP([@ItemCode], tbl_Items[ItemCode], tbl_Items[ItemName], "MISSING")</f>
        <v/>
      </c>
      <c r="F9">
        <f>XLOOKUP([@ItemCode], tbl_Items[ItemCode], tbl_Items[PortionUOM], "")</f>
        <v/>
      </c>
      <c r="G9">
        <f>IFERROR([@OnHandPortions]/XLOOKUP([@ItemCode], tbl_Items[ItemCode], tbl_Items[PortionsPerVendorUnit]), 0)</f>
        <v/>
      </c>
    </row>
    <row r="10">
      <c r="A10" t="inlineStr">
        <is>
          <t>SALT-KOSHER</t>
        </is>
      </c>
      <c r="B10" t="inlineStr">
        <is>
          <t>DRY</t>
        </is>
      </c>
      <c r="C10" t="n">
        <v>500</v>
      </c>
      <c r="D10" t="n">
        <v>720</v>
      </c>
      <c r="E10">
        <f>XLOOKUP([@ItemCode], tbl_Items[ItemCode], tbl_Items[ItemName], "MISSING")</f>
        <v/>
      </c>
      <c r="F10">
        <f>XLOOKUP([@ItemCode], tbl_Items[ItemCode], tbl_Items[PortionUOM], "")</f>
        <v/>
      </c>
      <c r="G10">
        <f>IFERROR([@OnHandPortions]/XLOOKUP([@ItemCode], tbl_Items[ItemCode], tbl_Items[PortionsPerVendorUnit]), 0)</f>
        <v/>
      </c>
    </row>
    <row r="11">
      <c r="A11" t="inlineStr">
        <is>
          <t>OIL-OLIVE</t>
        </is>
      </c>
      <c r="B11" t="inlineStr">
        <is>
          <t>DRY</t>
        </is>
      </c>
      <c r="C11" t="n">
        <v>128</v>
      </c>
      <c r="D11" t="n">
        <v>96</v>
      </c>
      <c r="E11">
        <f>XLOOKUP([@ItemCode], tbl_Items[ItemCode], tbl_Items[ItemName], "MISSING")</f>
        <v/>
      </c>
      <c r="F11">
        <f>XLOOKUP([@ItemCode], tbl_Items[ItemCode], tbl_Items[PortionUOM], "")</f>
        <v/>
      </c>
      <c r="G11">
        <f>IFERROR([@OnHandPortions]/XLOOKUP([@ItemCode], tbl_Items[ItemCode], tbl_Items[PortionsPerVendorUnit]), 0)</f>
        <v/>
      </c>
    </row>
    <row r="12">
      <c r="A12" t="inlineStr">
        <is>
          <t>POT-RUSSET</t>
        </is>
      </c>
      <c r="B12" t="inlineStr">
        <is>
          <t>DRY</t>
        </is>
      </c>
      <c r="C12" t="n">
        <v>60</v>
      </c>
      <c r="D12" t="n">
        <v>48</v>
      </c>
      <c r="E12">
        <f>XLOOKUP([@ItemCode], tbl_Items[ItemCode], tbl_Items[ItemName], "MISSING")</f>
        <v/>
      </c>
      <c r="F12">
        <f>XLOOKUP([@ItemCode], tbl_Items[ItemCode], tbl_Items[PortionUOM], "")</f>
        <v/>
      </c>
      <c r="G12">
        <f>IFERROR([@OnHandPortions]/XLOOKUP([@ItemCode], tbl_Items[ItemCode], tbl_Items[PortionsPerVendorUnit]), 0)</f>
        <v/>
      </c>
    </row>
    <row r="13">
      <c r="A13" t="inlineStr">
        <is>
          <t>POT-RUSSET</t>
        </is>
      </c>
      <c r="B13" t="inlineStr">
        <is>
          <t>PREP</t>
        </is>
      </c>
      <c r="C13" t="n">
        <v>12</v>
      </c>
      <c r="D13" t="n">
        <v>10</v>
      </c>
      <c r="E13">
        <f>XLOOKUP([@ItemCode], tbl_Items[ItemCode], tbl_Items[ItemName], "MISSING")</f>
        <v/>
      </c>
      <c r="F13">
        <f>XLOOKUP([@ItemCode], tbl_Items[ItemCode], tbl_Items[PortionUOM], "")</f>
        <v/>
      </c>
      <c r="G13">
        <f>IFERROR([@OnHandPortions]/XLOOKUP([@ItemCode], tbl_Items[ItemCode], tbl_Items[PortionsPerVendorUnit]), 0)</f>
        <v/>
      </c>
    </row>
    <row r="14">
      <c r="A14" t="inlineStr">
        <is>
          <t>BUTTER</t>
        </is>
      </c>
      <c r="B14" t="inlineStr">
        <is>
          <t>WALKIN</t>
        </is>
      </c>
      <c r="C14" t="n">
        <v>16</v>
      </c>
      <c r="D14" t="n">
        <v>12</v>
      </c>
      <c r="E14">
        <f>XLOOKUP([@ItemCode], tbl_Items[ItemCode], tbl_Items[ItemName], "MISSING")</f>
        <v/>
      </c>
      <c r="F14">
        <f>XLOOKUP([@ItemCode], tbl_Items[ItemCode], tbl_Items[PortionUOM], "")</f>
        <v/>
      </c>
      <c r="G14">
        <f>IFERROR([@OnHandPortions]/XLOOKUP([@ItemCode], tbl_Items[ItemCode], tbl_Items[PortionsPerVendorUnit]), 0)</f>
        <v/>
      </c>
    </row>
    <row r="15">
      <c r="A15" t="inlineStr">
        <is>
          <t>BUTTER</t>
        </is>
      </c>
      <c r="B15" t="inlineStr">
        <is>
          <t>SAUTE</t>
        </is>
      </c>
      <c r="C15" t="n">
        <v>4</v>
      </c>
      <c r="D15" t="n">
        <v>3</v>
      </c>
      <c r="E15">
        <f>XLOOKUP([@ItemCode], tbl_Items[ItemCode], tbl_Items[ItemName], "MISSING")</f>
        <v/>
      </c>
      <c r="F15">
        <f>XLOOKUP([@ItemCode], tbl_Items[ItemCode], tbl_Items[PortionUOM], "")</f>
        <v/>
      </c>
      <c r="G15">
        <f>IFERROR([@OnHandPortions]/XLOOKUP([@ItemCode], tbl_Items[ItemCode], tbl_Items[PortionsPerVendorUnit]), 0)</f>
        <v/>
      </c>
    </row>
    <row r="16">
      <c r="A16" t="inlineStr">
        <is>
          <t>GARLIC</t>
        </is>
      </c>
      <c r="B16" t="inlineStr">
        <is>
          <t>WALKIN</t>
        </is>
      </c>
      <c r="C16" t="n">
        <v>20</v>
      </c>
      <c r="D16" t="n">
        <v>15</v>
      </c>
      <c r="E16">
        <f>XLOOKUP([@ItemCode], tbl_Items[ItemCode], tbl_Items[ItemName], "MISSING")</f>
        <v/>
      </c>
      <c r="F16">
        <f>XLOOKUP([@ItemCode], tbl_Items[ItemCode], tbl_Items[PortionUOM], "")</f>
        <v/>
      </c>
      <c r="G16">
        <f>IFERROR([@OnHandPortions]/XLOOKUP([@ItemCode], tbl_Items[ItemCode], tbl_Items[PortionsPerVendorUnit]), 0)</f>
        <v/>
      </c>
    </row>
    <row r="17">
      <c r="A17" t="inlineStr">
        <is>
          <t>PARSLEY</t>
        </is>
      </c>
      <c r="B17" t="inlineStr">
        <is>
          <t>WALKIN</t>
        </is>
      </c>
      <c r="C17" t="n">
        <v>6</v>
      </c>
      <c r="D17" t="n">
        <v>4</v>
      </c>
      <c r="E17">
        <f>XLOOKUP([@ItemCode], tbl_Items[ItemCode], tbl_Items[ItemName], "MISSING")</f>
        <v/>
      </c>
      <c r="F17">
        <f>XLOOKUP([@ItemCode], tbl_Items[ItemCode], tbl_Items[PortionUOM], "")</f>
        <v/>
      </c>
      <c r="G17">
        <f>IFERROR([@OnHandPortions]/XLOOKUP([@ItemCode], tbl_Items[ItemCode], tbl_Items[PortionsPerVendorUnit]),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8" customWidth="1" min="4" max="4"/>
    <col width="14" customWidth="1" min="5" max="5"/>
    <col width="14" customWidth="1" min="6" max="6"/>
  </cols>
  <sheetData>
    <row r="1">
      <c r="A1" s="2" t="inlineStr">
        <is>
          <t>RecipeCode</t>
        </is>
      </c>
      <c r="B1" s="2" t="inlineStr">
        <is>
          <t>RecipeName</t>
        </is>
      </c>
      <c r="C1" s="2" t="inlineStr">
        <is>
          <t>YieldServings</t>
        </is>
      </c>
      <c r="D1" s="2" t="inlineStr">
        <is>
          <t>ItemCode</t>
        </is>
      </c>
      <c r="E1" s="2" t="inlineStr">
        <is>
          <t>QtyPerBatch</t>
        </is>
      </c>
      <c r="F1" s="2" t="inlineStr">
        <is>
          <t>QtyUOM</t>
        </is>
      </c>
    </row>
    <row r="2">
      <c r="A2" t="inlineStr">
        <is>
          <t>PORK01</t>
        </is>
      </c>
      <c r="B2" t="inlineStr">
        <is>
          <t>Pan-Seared Pork Chop</t>
        </is>
      </c>
      <c r="C2" t="n">
        <v>1</v>
      </c>
      <c r="D2" t="inlineStr">
        <is>
          <t>PORK-CHOP-6OZ</t>
        </is>
      </c>
      <c r="E2" t="n">
        <v>1</v>
      </c>
      <c r="F2" t="inlineStr">
        <is>
          <t>each</t>
        </is>
      </c>
    </row>
    <row r="3">
      <c r="A3" t="inlineStr">
        <is>
          <t>PORK01</t>
        </is>
      </c>
      <c r="B3" t="inlineStr">
        <is>
          <t>Pan-Seared Pork Chop</t>
        </is>
      </c>
      <c r="C3" t="n">
        <v>1</v>
      </c>
      <c r="D3" t="inlineStr">
        <is>
          <t>ONION-YEL</t>
        </is>
      </c>
      <c r="E3" t="n">
        <v>0.25</v>
      </c>
      <c r="F3" t="inlineStr">
        <is>
          <t>cup</t>
        </is>
      </c>
    </row>
    <row r="4">
      <c r="A4" t="inlineStr">
        <is>
          <t>PORK01</t>
        </is>
      </c>
      <c r="B4" t="inlineStr">
        <is>
          <t>Pan-Seared Pork Chop</t>
        </is>
      </c>
      <c r="C4" t="n">
        <v>1</v>
      </c>
      <c r="D4" t="inlineStr">
        <is>
          <t>BUTTER</t>
        </is>
      </c>
      <c r="E4" t="n">
        <v>1</v>
      </c>
      <c r="F4" t="inlineStr">
        <is>
          <t>tbsp</t>
        </is>
      </c>
    </row>
    <row r="5">
      <c r="A5" t="inlineStr">
        <is>
          <t>PORK01</t>
        </is>
      </c>
      <c r="B5" t="inlineStr">
        <is>
          <t>Pan-Seared Pork Chop</t>
        </is>
      </c>
      <c r="C5" t="n">
        <v>1</v>
      </c>
      <c r="D5" t="inlineStr">
        <is>
          <t>SALT-KOSHER</t>
        </is>
      </c>
      <c r="E5" t="n">
        <v>0.5</v>
      </c>
      <c r="F5" t="inlineStr">
        <is>
          <t>tsp</t>
        </is>
      </c>
    </row>
    <row r="6">
      <c r="A6" t="inlineStr">
        <is>
          <t>PORK01</t>
        </is>
      </c>
      <c r="B6" t="inlineStr">
        <is>
          <t>Pan-Seared Pork Chop</t>
        </is>
      </c>
      <c r="C6" t="n">
        <v>1</v>
      </c>
      <c r="D6" t="inlineStr">
        <is>
          <t>GARLIC</t>
        </is>
      </c>
      <c r="E6" t="n">
        <v>2</v>
      </c>
      <c r="F6" t="inlineStr">
        <is>
          <t>clove</t>
        </is>
      </c>
    </row>
    <row r="7">
      <c r="A7" t="inlineStr">
        <is>
          <t>CHIX01</t>
        </is>
      </c>
      <c r="B7" t="inlineStr">
        <is>
          <t>Roast Chicken Plate</t>
        </is>
      </c>
      <c r="C7" t="n">
        <v>1</v>
      </c>
      <c r="D7" t="inlineStr">
        <is>
          <t>CHIX-BRST-8OZ</t>
        </is>
      </c>
      <c r="E7" t="n">
        <v>1</v>
      </c>
      <c r="F7" t="inlineStr">
        <is>
          <t>each</t>
        </is>
      </c>
    </row>
    <row r="8">
      <c r="A8" t="inlineStr">
        <is>
          <t>CHIX01</t>
        </is>
      </c>
      <c r="B8" t="inlineStr">
        <is>
          <t>Roast Chicken Plate</t>
        </is>
      </c>
      <c r="C8" t="n">
        <v>1</v>
      </c>
      <c r="D8" t="inlineStr">
        <is>
          <t>POT-RUSSET</t>
        </is>
      </c>
      <c r="E8" t="n">
        <v>1</v>
      </c>
      <c r="F8" t="inlineStr">
        <is>
          <t>each</t>
        </is>
      </c>
    </row>
    <row r="9">
      <c r="A9" t="inlineStr">
        <is>
          <t>CHIX01</t>
        </is>
      </c>
      <c r="B9" t="inlineStr">
        <is>
          <t>Roast Chicken Plate</t>
        </is>
      </c>
      <c r="C9" t="n">
        <v>1</v>
      </c>
      <c r="D9" t="inlineStr">
        <is>
          <t>OIL-OLIVE</t>
        </is>
      </c>
      <c r="E9" t="n">
        <v>1</v>
      </c>
      <c r="F9" t="inlineStr">
        <is>
          <t>tbsp</t>
        </is>
      </c>
    </row>
    <row r="10">
      <c r="A10" t="inlineStr">
        <is>
          <t>CHIX01</t>
        </is>
      </c>
      <c r="B10" t="inlineStr">
        <is>
          <t>Roast Chicken Plate</t>
        </is>
      </c>
      <c r="C10" t="n">
        <v>1</v>
      </c>
      <c r="D10" t="inlineStr">
        <is>
          <t>BUTTER</t>
        </is>
      </c>
      <c r="E10" t="n">
        <v>1</v>
      </c>
      <c r="F10" t="inlineStr">
        <is>
          <t>tbsp</t>
        </is>
      </c>
    </row>
    <row r="11">
      <c r="A11" t="inlineStr">
        <is>
          <t>CHIX01</t>
        </is>
      </c>
      <c r="B11" t="inlineStr">
        <is>
          <t>Roast Chicken Plate</t>
        </is>
      </c>
      <c r="C11" t="n">
        <v>1</v>
      </c>
      <c r="D11" t="inlineStr">
        <is>
          <t>PARSLEY</t>
        </is>
      </c>
      <c r="E11" t="n">
        <v>1</v>
      </c>
      <c r="F11" t="inlineStr">
        <is>
          <t>tbsp</t>
        </is>
      </c>
    </row>
    <row r="12">
      <c r="A12" t="inlineStr">
        <is>
          <t>CHIX01</t>
        </is>
      </c>
      <c r="B12" t="inlineStr">
        <is>
          <t>Roast Chicken Plate</t>
        </is>
      </c>
      <c r="C12" t="n">
        <v>1</v>
      </c>
      <c r="D12" t="inlineStr">
        <is>
          <t>SALT-KOSHER</t>
        </is>
      </c>
      <c r="E12" t="n">
        <v>0.5</v>
      </c>
      <c r="F12" t="inlineStr">
        <is>
          <t>tsp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14" customWidth="1" min="4" max="4"/>
    <col width="14" customWidth="1" min="5" max="5"/>
    <col width="19" customWidth="1" min="6" max="6"/>
    <col width="20" customWidth="1" min="7" max="7"/>
    <col width="21" customWidth="1" min="8" max="8"/>
    <col width="19" customWidth="1" min="9" max="9"/>
    <col width="12" customWidth="1" min="10" max="10"/>
  </cols>
  <sheetData>
    <row r="1">
      <c r="A1" s="3" t="inlineStr">
        <is>
          <t>RecipeCode:</t>
        </is>
      </c>
      <c r="B1" s="4" t="inlineStr">
        <is>
          <t>PORK01</t>
        </is>
      </c>
      <c r="D1" s="1" t="inlineStr">
        <is>
          <t>RecipeName:</t>
        </is>
      </c>
      <c r="E1">
        <f>IFERROR(XLOOKUP($B$1, tbl_Recipes[RecipeCode], tbl_Recipes[RecipeName]), "")</f>
        <v/>
      </c>
    </row>
    <row r="2">
      <c r="A2" s="3" t="inlineStr">
        <is>
          <t>ServingsNeeded:</t>
        </is>
      </c>
      <c r="B2" s="4" t="n">
        <v>20</v>
      </c>
      <c r="D2" s="1" t="inlineStr">
        <is>
          <t>Recipe Yield:</t>
        </is>
      </c>
      <c r="E2">
        <f>IFERROR(XLOOKUP($B$1, tbl_Recipes[RecipeCode], tbl_Recipes[YieldServings]), "")</f>
        <v/>
      </c>
    </row>
    <row r="4">
      <c r="A4" s="2" t="inlineStr">
        <is>
          <t>ItemCode</t>
        </is>
      </c>
      <c r="B4" s="2" t="inlineStr">
        <is>
          <t>ItemName</t>
        </is>
      </c>
      <c r="C4" s="2" t="inlineStr">
        <is>
          <t>TotalPortionsNeeded</t>
        </is>
      </c>
      <c r="D4" s="2" t="inlineStr">
        <is>
          <t>PortionUOM</t>
        </is>
      </c>
      <c r="E4" s="2" t="inlineStr">
        <is>
          <t>VendorUOM</t>
        </is>
      </c>
      <c r="F4" s="2" t="inlineStr">
        <is>
          <t>VendorUnitsNeeded</t>
        </is>
      </c>
      <c r="G4" s="2" t="inlineStr">
        <is>
          <t>VendorUnitsToOrder</t>
        </is>
      </c>
      <c r="H4" s="2" t="inlineStr">
        <is>
          <t>TotalOnHandPortions</t>
        </is>
      </c>
      <c r="I4" s="2" t="inlineStr">
        <is>
          <t>ShortfallPortions</t>
        </is>
      </c>
      <c r="J4" s="2" t="inlineStr">
        <is>
          <t>EstCost</t>
        </is>
      </c>
    </row>
    <row r="5">
      <c r="A5" t="inlineStr">
        <is>
          <t>PORK-CHOP-6OZ</t>
        </is>
      </c>
      <c r="B5">
        <f>XLOOKUP(A5, tbl_Items[ItemCode], tbl_Items[ItemName], "")</f>
        <v/>
      </c>
      <c r="C5">
        <f>IFERROR(SUMIFS(tbl_Recipes[QtyPerBatch], tbl_Recipes[ItemCode], A5, tbl_Recipes[RecipeCode], $B$1) * $B$2 / XLOOKUP($B$1, tbl_Recipes[RecipeCode], tbl_Recipes[YieldServings]), 0)</f>
        <v/>
      </c>
      <c r="D5">
        <f>XLOOKUP(A5, tbl_Items[ItemCode], tbl_Items[PortionUOM], "")</f>
        <v/>
      </c>
      <c r="E5">
        <f>XLOOKUP(A5, tbl_Items[ItemCode], tbl_Items[VendorUOM], "")</f>
        <v/>
      </c>
      <c r="F5">
        <f>IFERROR(C5/XLOOKUP(A5, tbl_Items[ItemCode], tbl_Items[PortionsPerVendorUnit]), 0)</f>
        <v/>
      </c>
      <c r="G5">
        <f>IF(F5&gt;0, CEILING(F5, 1), 0)</f>
        <v/>
      </c>
      <c r="H5">
        <f>SUMIFS(tbl_Inventory[OnHandPortions], tbl_Inventory[ItemCode], A5)</f>
        <v/>
      </c>
      <c r="I5">
        <f>MAX(0, C5-H5)</f>
        <v/>
      </c>
      <c r="J5">
        <f>G5*XLOOKUP(A5, tbl_Items[ItemCode], tbl_Items[VendorPrice], 0)</f>
        <v/>
      </c>
    </row>
    <row r="6">
      <c r="A6" t="inlineStr">
        <is>
          <t>CHIX-BRST-8OZ</t>
        </is>
      </c>
      <c r="B6">
        <f>XLOOKUP(A6, tbl_Items[ItemCode], tbl_Items[ItemName], "")</f>
        <v/>
      </c>
      <c r="C6">
        <f>IFERROR(SUMIFS(tbl_Recipes[QtyPerBatch], tbl_Recipes[ItemCode], A6, tbl_Recipes[RecipeCode], $B$1) * $B$2 / XLOOKUP($B$1, tbl_Recipes[RecipeCode], tbl_Recipes[YieldServings]), 0)</f>
        <v/>
      </c>
      <c r="D6">
        <f>XLOOKUP(A6, tbl_Items[ItemCode], tbl_Items[PortionUOM], "")</f>
        <v/>
      </c>
      <c r="E6">
        <f>XLOOKUP(A6, tbl_Items[ItemCode], tbl_Items[VendorUOM], "")</f>
        <v/>
      </c>
      <c r="F6">
        <f>IFERROR(C6/XLOOKUP(A6, tbl_Items[ItemCode], tbl_Items[PortionsPerVendorUnit]), 0)</f>
        <v/>
      </c>
      <c r="G6">
        <f>IF(F6&gt;0, CEILING(F6, 1), 0)</f>
        <v/>
      </c>
      <c r="H6">
        <f>SUMIFS(tbl_Inventory[OnHandPortions], tbl_Inventory[ItemCode], A6)</f>
        <v/>
      </c>
      <c r="I6">
        <f>MAX(0, C6-H6)</f>
        <v/>
      </c>
      <c r="J6">
        <f>G6*XLOOKUP(A6, tbl_Items[ItemCode], tbl_Items[VendorPrice], 0)</f>
        <v/>
      </c>
    </row>
    <row r="7">
      <c r="A7" t="inlineStr">
        <is>
          <t>ONION-YEL</t>
        </is>
      </c>
      <c r="B7">
        <f>XLOOKUP(A7, tbl_Items[ItemCode], tbl_Items[ItemName], "")</f>
        <v/>
      </c>
      <c r="C7">
        <f>IFERROR(SUMIFS(tbl_Recipes[QtyPerBatch], tbl_Recipes[ItemCode], A7, tbl_Recipes[RecipeCode], $B$1) * $B$2 / XLOOKUP($B$1, tbl_Recipes[RecipeCode], tbl_Recipes[YieldServings]), 0)</f>
        <v/>
      </c>
      <c r="D7">
        <f>XLOOKUP(A7, tbl_Items[ItemCode], tbl_Items[PortionUOM], "")</f>
        <v/>
      </c>
      <c r="E7">
        <f>XLOOKUP(A7, tbl_Items[ItemCode], tbl_Items[VendorUOM], "")</f>
        <v/>
      </c>
      <c r="F7">
        <f>IFERROR(C7/XLOOKUP(A7, tbl_Items[ItemCode], tbl_Items[PortionsPerVendorUnit]), 0)</f>
        <v/>
      </c>
      <c r="G7">
        <f>IF(F7&gt;0, CEILING(F7, 1), 0)</f>
        <v/>
      </c>
      <c r="H7">
        <f>SUMIFS(tbl_Inventory[OnHandPortions], tbl_Inventory[ItemCode], A7)</f>
        <v/>
      </c>
      <c r="I7">
        <f>MAX(0, C7-H7)</f>
        <v/>
      </c>
      <c r="J7">
        <f>G7*XLOOKUP(A7, tbl_Items[ItemCode], tbl_Items[VendorPrice], 0)</f>
        <v/>
      </c>
    </row>
    <row r="8">
      <c r="A8" t="inlineStr">
        <is>
          <t>CREAM-HVY</t>
        </is>
      </c>
      <c r="B8">
        <f>XLOOKUP(A8, tbl_Items[ItemCode], tbl_Items[ItemName], "")</f>
        <v/>
      </c>
      <c r="C8">
        <f>IFERROR(SUMIFS(tbl_Recipes[QtyPerBatch], tbl_Recipes[ItemCode], A8, tbl_Recipes[RecipeCode], $B$1) * $B$2 / XLOOKUP($B$1, tbl_Recipes[RecipeCode], tbl_Recipes[YieldServings]), 0)</f>
        <v/>
      </c>
      <c r="D8">
        <f>XLOOKUP(A8, tbl_Items[ItemCode], tbl_Items[PortionUOM], "")</f>
        <v/>
      </c>
      <c r="E8">
        <f>XLOOKUP(A8, tbl_Items[ItemCode], tbl_Items[VendorUOM], "")</f>
        <v/>
      </c>
      <c r="F8">
        <f>IFERROR(C8/XLOOKUP(A8, tbl_Items[ItemCode], tbl_Items[PortionsPerVendorUnit]), 0)</f>
        <v/>
      </c>
      <c r="G8">
        <f>IF(F8&gt;0, CEILING(F8, 1), 0)</f>
        <v/>
      </c>
      <c r="H8">
        <f>SUMIFS(tbl_Inventory[OnHandPortions], tbl_Inventory[ItemCode], A8)</f>
        <v/>
      </c>
      <c r="I8">
        <f>MAX(0, C8-H8)</f>
        <v/>
      </c>
      <c r="J8">
        <f>G8*XLOOKUP(A8, tbl_Items[ItemCode], tbl_Items[VendorPrice], 0)</f>
        <v/>
      </c>
    </row>
    <row r="9">
      <c r="A9" t="inlineStr">
        <is>
          <t>SALT-KOSHER</t>
        </is>
      </c>
      <c r="B9">
        <f>XLOOKUP(A9, tbl_Items[ItemCode], tbl_Items[ItemName], "")</f>
        <v/>
      </c>
      <c r="C9">
        <f>IFERROR(SUMIFS(tbl_Recipes[QtyPerBatch], tbl_Recipes[ItemCode], A9, tbl_Recipes[RecipeCode], $B$1) * $B$2 / XLOOKUP($B$1, tbl_Recipes[RecipeCode], tbl_Recipes[YieldServings]), 0)</f>
        <v/>
      </c>
      <c r="D9">
        <f>XLOOKUP(A9, tbl_Items[ItemCode], tbl_Items[PortionUOM], "")</f>
        <v/>
      </c>
      <c r="E9">
        <f>XLOOKUP(A9, tbl_Items[ItemCode], tbl_Items[VendorUOM], "")</f>
        <v/>
      </c>
      <c r="F9">
        <f>IFERROR(C9/XLOOKUP(A9, tbl_Items[ItemCode], tbl_Items[PortionsPerVendorUnit]), 0)</f>
        <v/>
      </c>
      <c r="G9">
        <f>IF(F9&gt;0, CEILING(F9, 1), 0)</f>
        <v/>
      </c>
      <c r="H9">
        <f>SUMIFS(tbl_Inventory[OnHandPortions], tbl_Inventory[ItemCode], A9)</f>
        <v/>
      </c>
      <c r="I9">
        <f>MAX(0, C9-H9)</f>
        <v/>
      </c>
      <c r="J9">
        <f>G9*XLOOKUP(A9, tbl_Items[ItemCode], tbl_Items[VendorPrice], 0)</f>
        <v/>
      </c>
    </row>
    <row r="10">
      <c r="A10" t="inlineStr">
        <is>
          <t>OIL-OLIVE</t>
        </is>
      </c>
      <c r="B10">
        <f>XLOOKUP(A10, tbl_Items[ItemCode], tbl_Items[ItemName], "")</f>
        <v/>
      </c>
      <c r="C10">
        <f>IFERROR(SUMIFS(tbl_Recipes[QtyPerBatch], tbl_Recipes[ItemCode], A10, tbl_Recipes[RecipeCode], $B$1) * $B$2 / XLOOKUP($B$1, tbl_Recipes[RecipeCode], tbl_Recipes[YieldServings]), 0)</f>
        <v/>
      </c>
      <c r="D10">
        <f>XLOOKUP(A10, tbl_Items[ItemCode], tbl_Items[PortionUOM], "")</f>
        <v/>
      </c>
      <c r="E10">
        <f>XLOOKUP(A10, tbl_Items[ItemCode], tbl_Items[VendorUOM], "")</f>
        <v/>
      </c>
      <c r="F10">
        <f>IFERROR(C10/XLOOKUP(A10, tbl_Items[ItemCode], tbl_Items[PortionsPerVendorUnit]), 0)</f>
        <v/>
      </c>
      <c r="G10">
        <f>IF(F10&gt;0, CEILING(F10, 1), 0)</f>
        <v/>
      </c>
      <c r="H10">
        <f>SUMIFS(tbl_Inventory[OnHandPortions], tbl_Inventory[ItemCode], A10)</f>
        <v/>
      </c>
      <c r="I10">
        <f>MAX(0, C10-H10)</f>
        <v/>
      </c>
      <c r="J10">
        <f>G10*XLOOKUP(A10, tbl_Items[ItemCode], tbl_Items[VendorPrice], 0)</f>
        <v/>
      </c>
    </row>
    <row r="11">
      <c r="A11" t="inlineStr">
        <is>
          <t>POT-RUSSET</t>
        </is>
      </c>
      <c r="B11">
        <f>XLOOKUP(A11, tbl_Items[ItemCode], tbl_Items[ItemName], "")</f>
        <v/>
      </c>
      <c r="C11">
        <f>IFERROR(SUMIFS(tbl_Recipes[QtyPerBatch], tbl_Recipes[ItemCode], A11, tbl_Recipes[RecipeCode], $B$1) * $B$2 / XLOOKUP($B$1, tbl_Recipes[RecipeCode], tbl_Recipes[YieldServings]), 0)</f>
        <v/>
      </c>
      <c r="D11">
        <f>XLOOKUP(A11, tbl_Items[ItemCode], tbl_Items[PortionUOM], "")</f>
        <v/>
      </c>
      <c r="E11">
        <f>XLOOKUP(A11, tbl_Items[ItemCode], tbl_Items[VendorUOM], "")</f>
        <v/>
      </c>
      <c r="F11">
        <f>IFERROR(C11/XLOOKUP(A11, tbl_Items[ItemCode], tbl_Items[PortionsPerVendorUnit]), 0)</f>
        <v/>
      </c>
      <c r="G11">
        <f>IF(F11&gt;0, CEILING(F11, 1), 0)</f>
        <v/>
      </c>
      <c r="H11">
        <f>SUMIFS(tbl_Inventory[OnHandPortions], tbl_Inventory[ItemCode], A11)</f>
        <v/>
      </c>
      <c r="I11">
        <f>MAX(0, C11-H11)</f>
        <v/>
      </c>
      <c r="J11">
        <f>G11*XLOOKUP(A11, tbl_Items[ItemCode], tbl_Items[VendorPrice], 0)</f>
        <v/>
      </c>
    </row>
    <row r="12">
      <c r="A12" t="inlineStr">
        <is>
          <t>BUTTER</t>
        </is>
      </c>
      <c r="B12">
        <f>XLOOKUP(A12, tbl_Items[ItemCode], tbl_Items[ItemName], "")</f>
        <v/>
      </c>
      <c r="C12">
        <f>IFERROR(SUMIFS(tbl_Recipes[QtyPerBatch], tbl_Recipes[ItemCode], A12, tbl_Recipes[RecipeCode], $B$1) * $B$2 / XLOOKUP($B$1, tbl_Recipes[RecipeCode], tbl_Recipes[YieldServings]), 0)</f>
        <v/>
      </c>
      <c r="D12">
        <f>XLOOKUP(A12, tbl_Items[ItemCode], tbl_Items[PortionUOM], "")</f>
        <v/>
      </c>
      <c r="E12">
        <f>XLOOKUP(A12, tbl_Items[ItemCode], tbl_Items[VendorUOM], "")</f>
        <v/>
      </c>
      <c r="F12">
        <f>IFERROR(C12/XLOOKUP(A12, tbl_Items[ItemCode], tbl_Items[PortionsPerVendorUnit]), 0)</f>
        <v/>
      </c>
      <c r="G12">
        <f>IF(F12&gt;0, CEILING(F12, 1), 0)</f>
        <v/>
      </c>
      <c r="H12">
        <f>SUMIFS(tbl_Inventory[OnHandPortions], tbl_Inventory[ItemCode], A12)</f>
        <v/>
      </c>
      <c r="I12">
        <f>MAX(0, C12-H12)</f>
        <v/>
      </c>
      <c r="J12">
        <f>G12*XLOOKUP(A12, tbl_Items[ItemCode], tbl_Items[VendorPrice], 0)</f>
        <v/>
      </c>
    </row>
    <row r="13">
      <c r="A13" t="inlineStr">
        <is>
          <t>GARLIC</t>
        </is>
      </c>
      <c r="B13">
        <f>XLOOKUP(A13, tbl_Items[ItemCode], tbl_Items[ItemName], "")</f>
        <v/>
      </c>
      <c r="C13">
        <f>IFERROR(SUMIFS(tbl_Recipes[QtyPerBatch], tbl_Recipes[ItemCode], A13, tbl_Recipes[RecipeCode], $B$1) * $B$2 / XLOOKUP($B$1, tbl_Recipes[RecipeCode], tbl_Recipes[YieldServings]), 0)</f>
        <v/>
      </c>
      <c r="D13">
        <f>XLOOKUP(A13, tbl_Items[ItemCode], tbl_Items[PortionUOM], "")</f>
        <v/>
      </c>
      <c r="E13">
        <f>XLOOKUP(A13, tbl_Items[ItemCode], tbl_Items[VendorUOM], "")</f>
        <v/>
      </c>
      <c r="F13">
        <f>IFERROR(C13/XLOOKUP(A13, tbl_Items[ItemCode], tbl_Items[PortionsPerVendorUnit]), 0)</f>
        <v/>
      </c>
      <c r="G13">
        <f>IF(F13&gt;0, CEILING(F13, 1), 0)</f>
        <v/>
      </c>
      <c r="H13">
        <f>SUMIFS(tbl_Inventory[OnHandPortions], tbl_Inventory[ItemCode], A13)</f>
        <v/>
      </c>
      <c r="I13">
        <f>MAX(0, C13-H13)</f>
        <v/>
      </c>
      <c r="J13">
        <f>G13*XLOOKUP(A13, tbl_Items[ItemCode], tbl_Items[VendorPrice], 0)</f>
        <v/>
      </c>
    </row>
    <row r="14">
      <c r="A14" t="inlineStr">
        <is>
          <t>PARSLEY</t>
        </is>
      </c>
      <c r="B14">
        <f>XLOOKUP(A14, tbl_Items[ItemCode], tbl_Items[ItemName], "")</f>
        <v/>
      </c>
      <c r="C14">
        <f>IFERROR(SUMIFS(tbl_Recipes[QtyPerBatch], tbl_Recipes[ItemCode], A14, tbl_Recipes[RecipeCode], $B$1) * $B$2 / XLOOKUP($B$1, tbl_Recipes[RecipeCode], tbl_Recipes[YieldServings]), 0)</f>
        <v/>
      </c>
      <c r="D14">
        <f>XLOOKUP(A14, tbl_Items[ItemCode], tbl_Items[PortionUOM], "")</f>
        <v/>
      </c>
      <c r="E14">
        <f>XLOOKUP(A14, tbl_Items[ItemCode], tbl_Items[VendorUOM], "")</f>
        <v/>
      </c>
      <c r="F14">
        <f>IFERROR(C14/XLOOKUP(A14, tbl_Items[ItemCode], tbl_Items[PortionsPerVendorUnit]), 0)</f>
        <v/>
      </c>
      <c r="G14">
        <f>IF(F14&gt;0, CEILING(F14, 1), 0)</f>
        <v/>
      </c>
      <c r="H14">
        <f>SUMIFS(tbl_Inventory[OnHandPortions], tbl_Inventory[ItemCode], A14)</f>
        <v/>
      </c>
      <c r="I14">
        <f>MAX(0, C14-H14)</f>
        <v/>
      </c>
      <c r="J14">
        <f>G14*XLOOKUP(A14, tbl_Items[ItemCode], tbl_Items[VendorPrice], 0)</f>
        <v/>
      </c>
    </row>
  </sheetData>
  <dataValidations count="1">
    <dataValidation sqref="B1" showDropDown="0" showInputMessage="0" showErrorMessage="0" allowBlank="1" type="list">
      <formula1>=INDIRECT("tbl_Recipes[RecipeCode]")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9" customWidth="1" min="5" max="5"/>
    <col width="14" customWidth="1" min="6" max="6"/>
    <col width="30" customWidth="1" min="7" max="7"/>
  </cols>
  <sheetData>
    <row r="1">
      <c r="A1" s="2" t="inlineStr">
        <is>
          <t>LocationCode</t>
        </is>
      </c>
      <c r="B1" s="2" t="inlineStr">
        <is>
          <t>LocationName</t>
        </is>
      </c>
      <c r="C1" s="2" t="inlineStr">
        <is>
          <t>ItemCode</t>
        </is>
      </c>
      <c r="D1" s="2" t="inlineStr">
        <is>
          <t>ItemName</t>
        </is>
      </c>
      <c r="E1" s="2" t="inlineStr">
        <is>
          <t>PortionsAvailable</t>
        </is>
      </c>
      <c r="F1" s="2" t="inlineStr">
        <is>
          <t>PortionUOM</t>
        </is>
      </c>
      <c r="G1" s="2" t="inlineStr">
        <is>
          <t>PortionsNeededForRequisition</t>
        </is>
      </c>
    </row>
    <row r="2">
      <c r="A2" t="inlineStr">
        <is>
          <t>WALKIN</t>
        </is>
      </c>
      <c r="B2">
        <f>XLOOKUP(A2, tbl_Locations[LocationCode], tbl_Locations[LocationName], "")</f>
        <v/>
      </c>
      <c r="C2" t="inlineStr">
        <is>
          <t>PORK-CHOP-6OZ</t>
        </is>
      </c>
      <c r="D2">
        <f>XLOOKUP(C2, tbl_Items[ItemCode], tbl_Items[ItemName], "")</f>
        <v/>
      </c>
      <c r="E2" t="n">
        <v>40</v>
      </c>
      <c r="F2">
        <f>XLOOKUP(C2, tbl_Items[ItemCode], tbl_Items[PortionUOM], "")</f>
        <v/>
      </c>
      <c r="G2">
        <f>IFERROR(XLOOKUP(C2, tbl_Requisition[ItemCode], tbl_Requisition[TotalPortionsNeeded]), 0)</f>
        <v/>
      </c>
    </row>
    <row r="3">
      <c r="A3" t="inlineStr">
        <is>
          <t>FRZ</t>
        </is>
      </c>
      <c r="B3">
        <f>XLOOKUP(A3, tbl_Locations[LocationCode], tbl_Locations[LocationName], "")</f>
        <v/>
      </c>
      <c r="C3" t="inlineStr">
        <is>
          <t>PORK-CHOP-6OZ</t>
        </is>
      </c>
      <c r="D3">
        <f>XLOOKUP(C3, tbl_Items[ItemCode], tbl_Items[ItemName], "")</f>
        <v/>
      </c>
      <c r="E3" t="n">
        <v>120</v>
      </c>
      <c r="F3">
        <f>XLOOKUP(C3, tbl_Items[ItemCode], tbl_Items[PortionUOM], "")</f>
        <v/>
      </c>
      <c r="G3">
        <f>IFERROR(XLOOKUP(C3, tbl_Requisition[ItemCode], tbl_Requisition[TotalPortionsNeeded]), 0)</f>
        <v/>
      </c>
    </row>
    <row r="4">
      <c r="A4" t="inlineStr">
        <is>
          <t>PREP</t>
        </is>
      </c>
      <c r="B4">
        <f>XLOOKUP(A4, tbl_Locations[LocationCode], tbl_Locations[LocationName], "")</f>
        <v/>
      </c>
      <c r="C4" t="inlineStr">
        <is>
          <t>PORK-CHOP-6OZ</t>
        </is>
      </c>
      <c r="D4">
        <f>XLOOKUP(C4, tbl_Items[ItemCode], tbl_Items[ItemName], "")</f>
        <v/>
      </c>
      <c r="E4" t="n">
        <v>8</v>
      </c>
      <c r="F4">
        <f>XLOOKUP(C4, tbl_Items[ItemCode], tbl_Items[PortionUOM], "")</f>
        <v/>
      </c>
      <c r="G4">
        <f>IFERROR(XLOOKUP(C4, tbl_Requisition[ItemCode], tbl_Requisition[TotalPortionsNeeded]), 0)</f>
        <v/>
      </c>
    </row>
    <row r="5">
      <c r="A5" t="inlineStr">
        <is>
          <t>WALKIN</t>
        </is>
      </c>
      <c r="B5">
        <f>XLOOKUP(A5, tbl_Locations[LocationCode], tbl_Locations[LocationName], "")</f>
        <v/>
      </c>
      <c r="C5" t="inlineStr">
        <is>
          <t>CHIX-BRST-8OZ</t>
        </is>
      </c>
      <c r="D5">
        <f>XLOOKUP(C5, tbl_Items[ItemCode], tbl_Items[ItemName], "")</f>
        <v/>
      </c>
      <c r="E5" t="n">
        <v>32</v>
      </c>
      <c r="F5">
        <f>XLOOKUP(C5, tbl_Items[ItemCode], tbl_Items[PortionUOM], "")</f>
        <v/>
      </c>
      <c r="G5">
        <f>IFERROR(XLOOKUP(C5, tbl_Requisition[ItemCode], tbl_Requisition[TotalPortionsNeeded]), 0)</f>
        <v/>
      </c>
    </row>
    <row r="6">
      <c r="A6" t="inlineStr">
        <is>
          <t>FRZ</t>
        </is>
      </c>
      <c r="B6">
        <f>XLOOKUP(A6, tbl_Locations[LocationCode], tbl_Locations[LocationName], "")</f>
        <v/>
      </c>
      <c r="C6" t="inlineStr">
        <is>
          <t>CHIX-BRST-8OZ</t>
        </is>
      </c>
      <c r="D6">
        <f>XLOOKUP(C6, tbl_Items[ItemCode], tbl_Items[ItemName], "")</f>
        <v/>
      </c>
      <c r="E6" t="n">
        <v>80</v>
      </c>
      <c r="F6">
        <f>XLOOKUP(C6, tbl_Items[ItemCode], tbl_Items[PortionUOM], "")</f>
        <v/>
      </c>
      <c r="G6">
        <f>IFERROR(XLOOKUP(C6, tbl_Requisition[ItemCode], tbl_Requisition[TotalPortionsNeeded]), 0)</f>
        <v/>
      </c>
    </row>
    <row r="7">
      <c r="A7" t="inlineStr">
        <is>
          <t>WALKIN</t>
        </is>
      </c>
      <c r="B7">
        <f>XLOOKUP(A7, tbl_Locations[LocationCode], tbl_Locations[LocationName], "")</f>
        <v/>
      </c>
      <c r="C7" t="inlineStr">
        <is>
          <t>ONION-YEL</t>
        </is>
      </c>
      <c r="D7">
        <f>XLOOKUP(C7, tbl_Items[ItemCode], tbl_Items[ItemName], "")</f>
        <v/>
      </c>
      <c r="E7" t="n">
        <v>18</v>
      </c>
      <c r="F7">
        <f>XLOOKUP(C7, tbl_Items[ItemCode], tbl_Items[PortionUOM], "")</f>
        <v/>
      </c>
      <c r="G7">
        <f>IFERROR(XLOOKUP(C7, tbl_Requisition[ItemCode], tbl_Requisition[TotalPortionsNeeded]), 0)</f>
        <v/>
      </c>
    </row>
    <row r="8">
      <c r="A8" t="inlineStr">
        <is>
          <t>PREP</t>
        </is>
      </c>
      <c r="B8">
        <f>XLOOKUP(A8, tbl_Locations[LocationCode], tbl_Locations[LocationName], "")</f>
        <v/>
      </c>
      <c r="C8" t="inlineStr">
        <is>
          <t>ONION-YEL</t>
        </is>
      </c>
      <c r="D8">
        <f>XLOOKUP(C8, tbl_Items[ItemCode], tbl_Items[ItemName], "")</f>
        <v/>
      </c>
      <c r="E8" t="n">
        <v>4</v>
      </c>
      <c r="F8">
        <f>XLOOKUP(C8, tbl_Items[ItemCode], tbl_Items[PortionUOM], "")</f>
        <v/>
      </c>
      <c r="G8">
        <f>IFERROR(XLOOKUP(C8, tbl_Requisition[ItemCode], tbl_Requisition[TotalPortionsNeeded]), 0)</f>
        <v/>
      </c>
    </row>
    <row r="9">
      <c r="A9" t="inlineStr">
        <is>
          <t>WALKIN</t>
        </is>
      </c>
      <c r="B9">
        <f>XLOOKUP(A9, tbl_Locations[LocationCode], tbl_Locations[LocationName], "")</f>
        <v/>
      </c>
      <c r="C9" t="inlineStr">
        <is>
          <t>CREAM-HVY</t>
        </is>
      </c>
      <c r="D9">
        <f>XLOOKUP(C9, tbl_Items[ItemCode], tbl_Items[ItemName], "")</f>
        <v/>
      </c>
      <c r="E9" t="n">
        <v>6</v>
      </c>
      <c r="F9">
        <f>XLOOKUP(C9, tbl_Items[ItemCode], tbl_Items[PortionUOM], "")</f>
        <v/>
      </c>
      <c r="G9">
        <f>IFERROR(XLOOKUP(C9, tbl_Requisition[ItemCode], tbl_Requisition[TotalPortionsNeeded]), 0)</f>
        <v/>
      </c>
    </row>
    <row r="10">
      <c r="A10" t="inlineStr">
        <is>
          <t>DRY</t>
        </is>
      </c>
      <c r="B10">
        <f>XLOOKUP(A10, tbl_Locations[LocationCode], tbl_Locations[LocationName], "")</f>
        <v/>
      </c>
      <c r="C10" t="inlineStr">
        <is>
          <t>SALT-KOSHER</t>
        </is>
      </c>
      <c r="D10">
        <f>XLOOKUP(C10, tbl_Items[ItemCode], tbl_Items[ItemName], "")</f>
        <v/>
      </c>
      <c r="E10" t="n">
        <v>720</v>
      </c>
      <c r="F10">
        <f>XLOOKUP(C10, tbl_Items[ItemCode], tbl_Items[PortionUOM], "")</f>
        <v/>
      </c>
      <c r="G10">
        <f>IFERROR(XLOOKUP(C10, tbl_Requisition[ItemCode], tbl_Requisition[TotalPortionsNeeded]), 0)</f>
        <v/>
      </c>
    </row>
    <row r="11">
      <c r="A11" t="inlineStr">
        <is>
          <t>DRY</t>
        </is>
      </c>
      <c r="B11">
        <f>XLOOKUP(A11, tbl_Locations[LocationCode], tbl_Locations[LocationName], "")</f>
        <v/>
      </c>
      <c r="C11" t="inlineStr">
        <is>
          <t>OIL-OLIVE</t>
        </is>
      </c>
      <c r="D11">
        <f>XLOOKUP(C11, tbl_Items[ItemCode], tbl_Items[ItemName], "")</f>
        <v/>
      </c>
      <c r="E11" t="n">
        <v>96</v>
      </c>
      <c r="F11">
        <f>XLOOKUP(C11, tbl_Items[ItemCode], tbl_Items[PortionUOM], "")</f>
        <v/>
      </c>
      <c r="G11">
        <f>IFERROR(XLOOKUP(C11, tbl_Requisition[ItemCode], tbl_Requisition[TotalPortionsNeeded]), 0)</f>
        <v/>
      </c>
    </row>
    <row r="12">
      <c r="A12" t="inlineStr">
        <is>
          <t>DRY</t>
        </is>
      </c>
      <c r="B12">
        <f>XLOOKUP(A12, tbl_Locations[LocationCode], tbl_Locations[LocationName], "")</f>
        <v/>
      </c>
      <c r="C12" t="inlineStr">
        <is>
          <t>POT-RUSSET</t>
        </is>
      </c>
      <c r="D12">
        <f>XLOOKUP(C12, tbl_Items[ItemCode], tbl_Items[ItemName], "")</f>
        <v/>
      </c>
      <c r="E12" t="n">
        <v>48</v>
      </c>
      <c r="F12">
        <f>XLOOKUP(C12, tbl_Items[ItemCode], tbl_Items[PortionUOM], "")</f>
        <v/>
      </c>
      <c r="G12">
        <f>IFERROR(XLOOKUP(C12, tbl_Requisition[ItemCode], tbl_Requisition[TotalPortionsNeeded]), 0)</f>
        <v/>
      </c>
    </row>
    <row r="13">
      <c r="A13" t="inlineStr">
        <is>
          <t>PREP</t>
        </is>
      </c>
      <c r="B13">
        <f>XLOOKUP(A13, tbl_Locations[LocationCode], tbl_Locations[LocationName], "")</f>
        <v/>
      </c>
      <c r="C13" t="inlineStr">
        <is>
          <t>POT-RUSSET</t>
        </is>
      </c>
      <c r="D13">
        <f>XLOOKUP(C13, tbl_Items[ItemCode], tbl_Items[ItemName], "")</f>
        <v/>
      </c>
      <c r="E13" t="n">
        <v>10</v>
      </c>
      <c r="F13">
        <f>XLOOKUP(C13, tbl_Items[ItemCode], tbl_Items[PortionUOM], "")</f>
        <v/>
      </c>
      <c r="G13">
        <f>IFERROR(XLOOKUP(C13, tbl_Requisition[ItemCode], tbl_Requisition[TotalPortionsNeeded]), 0)</f>
        <v/>
      </c>
    </row>
    <row r="14">
      <c r="A14" t="inlineStr">
        <is>
          <t>WALKIN</t>
        </is>
      </c>
      <c r="B14">
        <f>XLOOKUP(A14, tbl_Locations[LocationCode], tbl_Locations[LocationName], "")</f>
        <v/>
      </c>
      <c r="C14" t="inlineStr">
        <is>
          <t>BUTTER</t>
        </is>
      </c>
      <c r="D14">
        <f>XLOOKUP(C14, tbl_Items[ItemCode], tbl_Items[ItemName], "")</f>
        <v/>
      </c>
      <c r="E14" t="n">
        <v>12</v>
      </c>
      <c r="F14">
        <f>XLOOKUP(C14, tbl_Items[ItemCode], tbl_Items[PortionUOM], "")</f>
        <v/>
      </c>
      <c r="G14">
        <f>IFERROR(XLOOKUP(C14, tbl_Requisition[ItemCode], tbl_Requisition[TotalPortionsNeeded]), 0)</f>
        <v/>
      </c>
    </row>
    <row r="15">
      <c r="A15" t="inlineStr">
        <is>
          <t>SAUTE</t>
        </is>
      </c>
      <c r="B15">
        <f>XLOOKUP(A15, tbl_Locations[LocationCode], tbl_Locations[LocationName], "")</f>
        <v/>
      </c>
      <c r="C15" t="inlineStr">
        <is>
          <t>BUTTER</t>
        </is>
      </c>
      <c r="D15">
        <f>XLOOKUP(C15, tbl_Items[ItemCode], tbl_Items[ItemName], "")</f>
        <v/>
      </c>
      <c r="E15" t="n">
        <v>3</v>
      </c>
      <c r="F15">
        <f>XLOOKUP(C15, tbl_Items[ItemCode], tbl_Items[PortionUOM], "")</f>
        <v/>
      </c>
      <c r="G15">
        <f>IFERROR(XLOOKUP(C15, tbl_Requisition[ItemCode], tbl_Requisition[TotalPortionsNeeded]), 0)</f>
        <v/>
      </c>
    </row>
    <row r="16">
      <c r="A16" t="inlineStr">
        <is>
          <t>WALKIN</t>
        </is>
      </c>
      <c r="B16">
        <f>XLOOKUP(A16, tbl_Locations[LocationCode], tbl_Locations[LocationName], "")</f>
        <v/>
      </c>
      <c r="C16" t="inlineStr">
        <is>
          <t>GARLIC</t>
        </is>
      </c>
      <c r="D16">
        <f>XLOOKUP(C16, tbl_Items[ItemCode], tbl_Items[ItemName], "")</f>
        <v/>
      </c>
      <c r="E16" t="n">
        <v>15</v>
      </c>
      <c r="F16">
        <f>XLOOKUP(C16, tbl_Items[ItemCode], tbl_Items[PortionUOM], "")</f>
        <v/>
      </c>
      <c r="G16">
        <f>IFERROR(XLOOKUP(C16, tbl_Requisition[ItemCode], tbl_Requisition[TotalPortionsNeeded]), 0)</f>
        <v/>
      </c>
    </row>
    <row r="17">
      <c r="A17" t="inlineStr">
        <is>
          <t>WALKIN</t>
        </is>
      </c>
      <c r="B17">
        <f>XLOOKUP(A17, tbl_Locations[LocationCode], tbl_Locations[LocationName], "")</f>
        <v/>
      </c>
      <c r="C17" t="inlineStr">
        <is>
          <t>PARSLEY</t>
        </is>
      </c>
      <c r="D17">
        <f>XLOOKUP(C17, tbl_Items[ItemCode], tbl_Items[ItemName], "")</f>
        <v/>
      </c>
      <c r="E17" t="n">
        <v>4</v>
      </c>
      <c r="F17">
        <f>XLOOKUP(C17, tbl_Items[ItemCode], tbl_Items[PortionUOM], "")</f>
        <v/>
      </c>
      <c r="G17">
        <f>IFERROR(XLOOKUP(C17, tbl_Requisition[ItemCode], tbl_Requisition[TotalPortionsNeeded]),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2026-05-11T17:43:42Z</dcterms:created>
  <dcterms:modified xsi:type="dcterms:W3CDTF">2026-05-11T17:43:42Z</dcterms:modified>
</cp:coreProperties>
</file>